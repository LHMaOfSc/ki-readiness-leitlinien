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Meine Ablage\99_KI_Sandbox\10_Uni\Module\Praxisseminar\Output\"/>
    </mc:Choice>
  </mc:AlternateContent>
  <xr:revisionPtr revIDLastSave="0" documentId="13_ncr:1_{FAFD054A-8706-49F5-ADEE-144F1CE9525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Log" sheetId="1" r:id="rId1"/>
    <sheet name="Bewertung" sheetId="2" r:id="rId2"/>
    <sheet name="Rekonstruktion" sheetId="3" r:id="rId3"/>
    <sheet name="Ursachentes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3" l="1"/>
  <c r="E23" i="3"/>
  <c r="H22" i="3"/>
  <c r="E22" i="3"/>
  <c r="H21" i="3"/>
  <c r="E21" i="3"/>
  <c r="H20" i="3"/>
  <c r="E20" i="3"/>
  <c r="H19" i="3"/>
  <c r="E19" i="3"/>
  <c r="H18" i="3"/>
  <c r="E18" i="3"/>
  <c r="H8" i="3"/>
  <c r="E8" i="3"/>
  <c r="H7" i="3"/>
  <c r="E7" i="3"/>
  <c r="H6" i="3"/>
  <c r="E6" i="3"/>
  <c r="H5" i="3"/>
  <c r="E5" i="3"/>
  <c r="H4" i="3"/>
  <c r="E4" i="3"/>
  <c r="H3" i="3"/>
  <c r="E3" i="3"/>
  <c r="O23" i="2"/>
  <c r="P23" i="2" s="1"/>
  <c r="O22" i="2"/>
  <c r="P22" i="2" s="1"/>
  <c r="O21" i="2"/>
  <c r="P21" i="2" s="1"/>
  <c r="G7" i="1" s="1"/>
  <c r="O20" i="2"/>
  <c r="P20" i="2" s="1"/>
  <c r="O19" i="2"/>
  <c r="P19" i="2" s="1"/>
  <c r="O18" i="2"/>
  <c r="P18" i="2" s="1"/>
  <c r="G6" i="1" s="1"/>
  <c r="O17" i="2"/>
  <c r="P17" i="2" s="1"/>
  <c r="O16" i="2"/>
  <c r="P16" i="2" s="1"/>
  <c r="O15" i="2"/>
  <c r="P15" i="2" s="1"/>
  <c r="G5" i="1" s="1"/>
  <c r="O14" i="2"/>
  <c r="P14" i="2" s="1"/>
  <c r="O13" i="2"/>
  <c r="P13" i="2" s="1"/>
  <c r="O12" i="2"/>
  <c r="P12" i="2" s="1"/>
  <c r="G4" i="1" s="1"/>
  <c r="O11" i="2"/>
  <c r="P11" i="2" s="1"/>
  <c r="O10" i="2"/>
  <c r="P10" i="2" s="1"/>
  <c r="O9" i="2"/>
  <c r="P9" i="2" s="1"/>
  <c r="G3" i="1" s="1"/>
  <c r="O8" i="2"/>
  <c r="P8" i="2" s="1"/>
  <c r="O7" i="2"/>
  <c r="O6" i="2"/>
  <c r="P6" i="2" s="1"/>
  <c r="G2" i="1" s="1"/>
  <c r="O4" i="2"/>
  <c r="P7" i="2" s="1"/>
  <c r="G9" i="1"/>
  <c r="G8" i="1"/>
</calcChain>
</file>

<file path=xl/sharedStrings.xml><?xml version="1.0" encoding="utf-8"?>
<sst xmlns="http://schemas.openxmlformats.org/spreadsheetml/2006/main" count="310" uniqueCount="183">
  <si>
    <t>Version</t>
  </si>
  <si>
    <t>Datum</t>
  </si>
  <si>
    <t>Notebook</t>
  </si>
  <si>
    <t>Änderung</t>
  </si>
  <si>
    <t>Warum</t>
  </si>
  <si>
    <t>Erwartung</t>
  </si>
  <si>
    <t>Ø</t>
  </si>
  <si>
    <t>Ergebnis</t>
  </si>
  <si>
    <t>Chats</t>
  </si>
  <si>
    <t>v0</t>
  </si>
  <si>
    <t>A</t>
  </si>
  <si>
    <t>• nur Basisprompt, keine Bausteine</t>
  </si>
  <si>
    <t>• Baseline, damit ich nachher vergleichen kann</t>
  </si>
  <si>
    <t>• nix, Ausgangspunkt</t>
  </si>
  <si>
    <t>• 1-3 von 9 Kriterien (später auf 11 nachbewertet)
• 3/3 Läufe: keine Hypothesen, eigene Dimensionen statt Konstrukte
• Konstrukte mit weniger als 3 Items, Doppelfragen durch zusammengelegte Items
• Zusatzkapitel, die keiner wollte
• A-Quote 27-68 %, 21-40 Items -&gt; total instabil
• Theoriewahl aber stabil (Vertrauen, RAA/UTAUT2/SET, STS)
• Lauf 3: erfundene Originalzitate unter echten Autoren!!</t>
  </si>
  <si>
    <t>v0_lauf1.pdf
v0_lauf2.pdf
v0_lauf3.pdf</t>
  </si>
  <si>
    <t>v1</t>
  </si>
  <si>
    <t>• feste Arbeitsschritte: Theorie -&gt; Modell/Hypothesen (Richtung + Quelle) -&gt; Konstrukte -&gt; 3-5 Items
• festes Ausgabeformat, 4 Teile, Fragebogen als Tabelle
• sonst nix ausgeben</t>
  </si>
  <si>
    <t>• v0 hatte null Vorgehen
• keine Hypothesen, eigene Dimensionen, zu wenig Items
• jedes Mal Zusatzkapitel</t>
  </si>
  <si>
    <t>• Struktur passt (K1, K4, K7, K8 immer 1), Zusatzkapitel weg
• erfundene Items? nö, schreibt fast wörtlich ab (A 80-100 %)
• ABER überall wir-/Unternehmensperspektive -&gt; K9 = 0
• mega instabil: 5 Versuche, 1x Fehlermeldung, 1x hängt, 2x Neuansätze
• pro Neuansatz wird das Modell kleiner, am Ende nur noch Vertrauen
• v0-Kontrolle läuft normal -&gt; liegt am Prompt
• Verdacht: zu lang (Antwortskala in jeder Zeile)</t>
  </si>
  <si>
    <t>v1_lauf1.pdf
v1_lauf2.pdf
v1_lauf3.pdf
v0_kontrolle.pdf</t>
  </si>
  <si>
    <t>v2</t>
  </si>
  <si>
    <t>• Perspektive: Ich-Form, eigene Arbeit
• Quellenregel: nur Items aus Skalen in den Quellen, nur Gegenstand + Perspektive anpassen, nix dazu/weg/zusammen
• Quelle pro Item, sonst "neu formuliert", unter 3 auffüllen, über 5 die ersten 5
• Antwortskala nur 1x über der Tabelle</t>
  </si>
  <si>
    <t>• v1: Perspektive überall falsch ("wir", "Unternehmensprozesse")
• veränderte Items trotzdem mit Quelle ("verstärkt" dazu, "ohne Kontrolle" weg)
• dauernd Abbrüche, wsl. Länge
• 3 Sachen ohne Zusammenhang, kommen trotzdem zusammen rein</t>
  </si>
  <si>
    <t>• K2, K3, K6, K9 sollten passen, weniger Abbrüche
• Risiko: noch kleiner, nimmt einfach einen Fragebogen komplett -&gt; RAA raus?</t>
  </si>
  <si>
    <t>• 3x 9/9, keine Neuansätze mehr (1 Hänger, Neustart ok)
• alle 3 fast gleich: Vertrauen, 5 Konstrukte, 16 Items = FB 4
• Perspektive + Quellen ok
• aber genau das Befürchtete: nur noch Vertrauen, RAA weg -&gt; KI-Readiness = Vertrauen?!
• Kriterien merken das nicht mehr, alles 9/9
• Kleinkram: KI-Tools/KI-Anwendungen gemischt, invers nicht markiert</t>
  </si>
  <si>
    <t>v2_lauf1.pdf
v2_lauf2.pdf
v2_lauf3.pdf</t>
  </si>
  <si>
    <t>v3</t>
  </si>
  <si>
    <t>• Theorievergleich: alle Theorien listen, Passung prüfen, rein/raus begründen
• Zielgröße: Nutzungsabsicht + Einflussfaktoren
• Aufgabe als Lückentext [THEMA] [ZIELGRUPPE] [GEGENSTAND] [ZIELGRÖSSE]
• Perspektive allgemeiner ("bezogen auf sich selbst")
• Quellenregel: invers markieren, 1 Bezeichnung für den Gegenstand</t>
  </si>
  <si>
    <t>• v2 nur Vertrauen + FB 4, RAA weg
• invers nicht markiert -&gt; Auswertung rechnet falsch
• Kriterien bei 9/9 sagen nix mehr -&gt; K10 + K11 neu
• Platzhalter, damit gleicher Prompt für die Rekonstruktion</t>
  </si>
  <si>
    <t>• K10, K11 erfüllt
• hoffentlich wieder mehr Theorien, v.a. RAA
• dann länger -&gt; evtl. wieder Abbrüche = Test für den Längen-Block</t>
  </si>
  <si>
    <t>• erst 3x 11/11, nach K10-Schärfung 10/10/11
• keine Abbrüche, Vergleich + invers ok
• aber weiter nur Vertrauen + FB 4
• RAA fliegt jedes Mal raus, Gründe schwach ("zu allgemein", "fehlende KI-Aspekte")
• 1x sogar "hoch passend" und trotzdem raus??
• 1 Lauf: DSR + ENISA als Theorien, dazu TAM, steht gar nicht in den Quellen
• K10 prüft nur ob begründet wird, nicht ob es Sinn macht -&gt; wirkt nachträglich gerechtfertigt
• mehr Theorien kamen nicht -&gt; Längen-Block weiter ungetestet</t>
  </si>
  <si>
    <t>v3_lauf1.pdf
v3_lauf2.pdf
v3_lauf3.pdf</t>
  </si>
  <si>
    <t>v4</t>
  </si>
  <si>
    <t>• Quellenregel: fremdsprachige Items sinngleich übersetzen ok
• Sprache kein Kriterium für die Theoriewahl
• "(übersetzt)" markieren, "(invers)" nur wenn im Original negativ
• Schritt 2: Richtung aus der Hypothese, nicht aus dem Ergebnis</t>
  </si>
  <si>
    <t>• Ursachentest: eng v.a. wenn Quellenregel + deutscher FB 4 zusammenkommen
• Material kann ich nicht ändern, Prompt muss damit klarkommen
• Kontrolle -&gt; Nutzungsabsicht öfter mit Minus (Ergebnis aus Paper 2 statt H10: +)
• beim Übersetzen 1 Item sinnverkehrt und dann als invers markiert</t>
  </si>
  <si>
    <t>• eher 1-2 von 3 breiter (FB 4 liegt ja weiter drin)
• Kontrolle-Hypothesen mit +, übersetzte Items markiert</t>
  </si>
  <si>
    <t>• nope: 0 von 3 breiter, immer Vertrauen + FB 4
• nix übersetzt -&gt; Übersetzungsregel nicht prüfbar
• "Sprache kein Kriterium" kommt gegen den deutschen FB nicht an, RAA raus ("technologieunspezifisch")
• heißt: Verengung durchs Material krieg ich mit Anweisung allein nicht weg
• sonst 11/11 bzw. 10/11 (1x TAM erfunden)
• Richtungs- + Invers-Regel bleiben
• v4 -&gt; Rekonstruktion</t>
  </si>
  <si>
    <t>v5</t>
  </si>
  <si>
    <t>A + B</t>
  </si>
  <si>
    <t>• 3 Änderungen auf einmal nach der Rekonstruktion
• Quellenregel strenger: "adaptiert aus ..." zählt nicht, keine erfundenen Kennungen, "(übersetzt)" nur wenn Itemtext wirklich abgedruckt, Check vor Ausgabe
• neuer Block Konstrukttreue: getrennt bleibt getrennt, weglassen nur mit Begründung, keine Doppelfragen
• Ausgabelänge: max 2 Sätze pro Theorie, lieber Begründungen kürzen als Konstrukte/Items
• Langfassung (~4.700 Zeichen) ließ sich in NotebookLM nicht abschicken -&gt; auf ~3.100 gekürzt, Regeln gleich, Formulierung knapper ("Beginne erst wenn ..." + Vorrangregel übernommene Items weg)</t>
  </si>
  <si>
    <t>• Rekonstruktion mit v4: fast alles "(übersetzt)" mit erfundenen IDs, obwohl in Paper 1 + 3 gar keine Itemtexte stehen -&gt; Quellen gefakt
• Paper 3: getrennte Konstrukte zusammengeworfen oder weg, 1 Lauf mit Doppelfragen</t>
  </si>
  <si>
    <t>• ohne Itemtext -&gt; "neu formuliert", keine Fake-IDs
• Paper 3 deutlich mehr Konstrukte, keine Sammelkonstrukte
• Längen-Teil nur Vermutung: legt er trotzdem zusammen, lag es nicht an der Länge
• Selbstcheck eher Versuch als Absicherung
• Notebook A darf nicht schlechter werden
• alles auf einmal -&gt; 3 Sachen nicht einzeln bewertbar</t>
  </si>
  <si>
    <t>• Notebook A wie v4 (11/11, 11/11, 10/11) -&gt; nix kaputt
• Quellen-Fake komplett weg, alles "neu formuliert"
• Paper 3 viel stabiler: alle 8 Aufgabentypen + 3 Technologiemerkmale getrennt, 3x 13/21 (v4: 9, 10, 2)
• Item-Treffer P3 35-44 % (v4: 8-29), P1 bleibt bei ~30 %
• keine Abbrüche, keine Sammelkonstrukte
• bleibt: TTF nur allgemein statt je Aufgabentyp (Paper fasst TTF im Modell aber selbst zusammen!)
• neue Kleinigkeiten: A-Lauf 1 markiert deutsche Items als "(übersetzt)", P1 Lauf 1 Kosten in Hypothesen ohne Items</t>
  </si>
  <si>
    <t>v5_lauf1.pdf
v5_lauf2.pdf
v5_lauf3.pdf
rek5_p1_lauf1.pdf
rek5_p1_lauf2.pdf
rek5_p1_lauf3.pdf
rek5_p3_lauf1.pdf
rek5_p3_lauf2.pdf
rek5_p3_lauf3.pdf</t>
  </si>
  <si>
    <t>Ablation</t>
  </si>
  <si>
    <t>A (abgewandelt)</t>
  </si>
  <si>
    <t>• keine eigene Version
• Tests A, B, C -&gt; Blatt Ursachentest</t>
  </si>
  <si>
    <t>• v2 + v3 immer nur Vertrauen
• Quellenregel schuld? Material? beides?</t>
  </si>
  <si>
    <t>• nehm ich einen Faktor raus, wird es breiter</t>
  </si>
  <si>
    <t>• eng nur stabil, wenn beides zusammenkommt (3 Läufe pro Test -&gt; eher Tendenz)
• bis 10 Konstrukte kein Abbruch -&gt; Längen-Block wirkt wohl
• nicht mit K1-K11 bewertet</t>
  </si>
  <si>
    <t>A: v3_abl_quellenregel_lauf1.pdf, _lauf2.pdf, _lauf3.pdf
B: v3_en_only_lauf1.pdf, _lauf2.pdf, _lauf3.pdf
C: v3_abl_quellenregel_lauf1_en.pdf, _lauf2_en.pdf, _lauf3_en.pdf</t>
  </si>
  <si>
    <t>Final</t>
  </si>
  <si>
    <t>• v5 ist final, keine neuen Läufe</t>
  </si>
  <si>
    <t>• nur 3 Läufe pro Version
• bewertet nur von mir (teils mit Claude), keine zweite Person
• Kriterien ab v3 fast immer voll, versteckte Fehler erst bei der Rekonstruktion
• v2 + v5 mehrere Änderungen auf einmal, v5 dazu gekürzter Wortlaut
• Längen-Block nur Hinweis, kein Beweis
• Rekonstruktion v4 war Grundlage für v5 -&gt; kein unabhängiger Test mehr
• Notebook A bleibt beim Vertrauensmodell
• TTF-Items je Aufgabentyp fehlen
• Item-Treffer nur 30-44 %, Paper haben ja keine Itemtexte</t>
  </si>
  <si>
    <t>siehe v5</t>
  </si>
  <si>
    <t>Kriterien</t>
  </si>
  <si>
    <t>Kriterium</t>
  </si>
  <si>
    <t>K1: Jedes Item genau einem Konstrukt zugeordnet</t>
  </si>
  <si>
    <t>K2: Jedes Item hat eine korrekte Quellenangabe oder ist als „neu formuliert“ gekennzeichnet</t>
  </si>
  <si>
    <t>K3: Items aus etablierten Skalen übernommen/angepasst</t>
  </si>
  <si>
    <t>K4: 3–5 Items je Konstrukt</t>
  </si>
  <si>
    <t>K5: Keine Doppelfragen</t>
  </si>
  <si>
    <t>K6: Keine Suggestivfragen</t>
  </si>
  <si>
    <t>K7: Einheitliche Antwortskala</t>
  </si>
  <si>
    <t>K8: Theoriewahl begründet, Hypothesen mit Richtung (+/−) und Quelle</t>
  </si>
  <si>
    <t>K9: Items auf Mitarbeitende und KI am Arbeitsplatz übertragen</t>
  </si>
  <si>
    <t>K10: Theoriewahl prüft alle Theorien aus den Quellen (und nur diese) und begründet Aufnahme oder Ausschluss; die Begründung passt zur eigenen Bewertung</t>
  </si>
  <si>
    <t>K11: Negativ formulierte Items sind als invers gekennzeichnet (keine vorhanden = 1)</t>
  </si>
  <si>
    <t>Gütekriterium</t>
  </si>
  <si>
    <t>Validität</t>
  </si>
  <si>
    <t>Validität, Reliabilität</t>
  </si>
  <si>
    <t>Reliabilität</t>
  </si>
  <si>
    <t>Objektivität</t>
  </si>
  <si>
    <t>Max:</t>
  </si>
  <si>
    <t>Lauf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</si>
  <si>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</si>
  <si>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</si>
  <si>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</si>
  <si>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</si>
  <si>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</si>
  <si>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</si>
  <si>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</si>
  <si>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</si>
  <si>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</si>
  <si>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</si>
  <si>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</si>
  <si>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Summe</t>
  </si>
  <si>
    <t>Anteil</t>
  </si>
  <si>
    <t>Notiz</t>
  </si>
  <si>
    <t>• 21 Items, A/B/C 11/8/2 (A 52%)
• 5 eigene „Dimensionen“ statt Konstrukte, meist 1 Item pro Konstrukt
• Keine Hypothesen
• Doppelfragen (K1.3, E4.3, E4.4, V5.4)
• Verstärker „deutlich/spürbar“ (E4.1, E4.2)
• Veränderte Items behalten Quelle (D2.4, S3.4)
• Zusatzkapitel Abteilungen/Empowerment
• Theorien: Vertrauen, STS, RAA/UTAUT2/SET
• K10/11 später nachbewertet: alle 3 Theorien drin, invers D2.3, E4.4 markiert</t>
  </si>
  <si>
    <t>• 22 Items, A/B/C 6/13/3 (A 27%)
• 6 Dimensionen, Konstrukte gemischt, keine Zuordnung, keine Quellen pro Item
• Keine Hypothesen
• Skala unklar (7er „bzw.“ 5er)
• NA-01 in Wir-Form
• Viele Items zusammengelegt/umgedeutet
• Zusatzkapitel + Index
• K10/11 nachbewertet: alle 3 Theorien, keine negativen Items</t>
  </si>
  <si>
    <t>• 40 Items, A/B/C 27/9/4 (A 68%)
• Beste Struktur, aber 5 Konstrukte unter 3 Items
• Keine Hypothesen
• 6 erfundene Originalzitate unter echten Autoren (PUS_1/2, PN_2, OS_1/2, TEC_2), PEOU falsch Fishbein &amp; Ajzen zugeordnet
• Verstärker
• Wir-Form (TRU_1, ITU_1)
• „unweiblich“ (BEN_2)
• Zusatzkapitel
• K10/11 nachbewertet: alle 3 Theorien, invers INT_3, BEN_1-3, TRU_2 markiert</t>
  </si>
  <si>
    <t>• Versuch 1
• 4 Fassungen, 3 brechen in der Tabelle ab
• Theorie schwankt (1-3: Vertrauen + UTAUT2/RAA, 8 Konstrukte; 4: nur Vertrauen, 5)
• Bewertet: Fassung 4
• 15 Items, A ca
• 80%
• Erfunden: Benevolence „angemessene Unterstützung“, Integrity 3 (statt D3), trotzdem mit Quelle
• Wir-Form bei Vertrauen/Intention
• „verstärkt“ dazugeschrieben
• K10/11 nachbewertet: nur Vertrauen, Rest nicht begründet, keine neg
• Items</t>
  </si>
  <si>
    <t>• Versuch 4 (2: Fehlermeldung, 3: Hänger über 15 min, v0-Kontrolle lief normal)
• 3 Fassungen, jedes Mal Abbruch in der Tabelle, Modell wird kleiner (6, 6, 5)
• Bewertet: Fassung 3
• 15 Items, A ca
• 93%
• T3 ohne „ohne Kontrolle“
• Wir-Form
• „verstärkt“ dazu
• RAA genannt, aber keine RAA-Konstrukte
• Skala wechselt
• K10/11 nachbewertet: Vertrauen + PEOU, STS nicht geprüft, keine neg
• Items</t>
  </si>
  <si>
    <t>• Versuch 5
• Eine Fassung
• Nur Vertrauen (5 Konstrukte, 4 H)
• 16 Items = Fragebogen 4 fast wortgleich (deutsche Fassung, „ChatGPT“ -&gt; „KI-Anwendung“), A 100%
• Aber nicht auf Mitarbeitende angepasst: „wir“, „unsere Unternehmensprozesse“
• Punkte vor allem durchs Abschreiben, nur K9 merkts
• K10/11 nachbewertet: kein Ausschluss begründet, U1-U3, D3, T2 nicht markiert</t>
  </si>
  <si>
    <t>• Ca
• 2-3 min, keine Neuansätze
• Nur Vertrauen (5 Konstrukte, 4 H)
• 16 Items = Fragebogen 4, Ich-Form, Quellen passen (X1-I3)
• A 100%
• „KI-Tools“/„KI-Anwendungen“ gemischt, U2 Singular
• Inverse nicht markiert
• RAA fehlt
• K10/11 nachbewertet: kein Ausschluss begründet, inverse nicht markiert</t>
  </si>
  <si>
    <t>• Versuch 1 Hänger über 14 min, abgebrochen
• Versuch 2 normal
• Fast gleich wie Lauf 1
• A 100%
• U2 Singular, inverse nicht markiert, RAA fehlt
• K10/11 wie Lauf 1</t>
  </si>
  <si>
    <t>• Gleich wie Lauf 1 und 2
• A 100%
• Skala diesmal ausgeschrieben
• U2 Singular, inverse nicht markiert, RAA fehlt
• K10/11 wie Lauf 1</t>
  </si>
  <si>
    <t>• Keine Neuansätze
• 9 „Theorien“ geprüft, auch DSR und ENISA (keine Verhaltenstheorien) und TAM (Davis 1989), steht nicht in den Quellen
• Nur Vertrauen gewählt
• RAA raus, weil „zu allgemeinpsychologisch“, spräche eher für Kombi
• 16 Items aus Fragebogen 4, Quellen ok, 6 Items richtig invers
• K10 nach Schärfung (29.10.) = 0 wegen TAM</t>
  </si>
  <si>
    <t>• Keine Neuansätze
• 6 Theorien
• RAA „hoch“ passend und trotzdem raus
• Nur Vertrauen
• Fragebogen wie Lauf 1
• K10 nach Schärfung = 0, Bewertung und Ausschluss widersprechen sich</t>
  </si>
  <si>
    <t>• Keine Neuansätze
• 6 Theorien mit Quelle
• RAA raus, weil in den Quellen „für Konsumenten operationalisiert“
• Nur Vertrauen
• Fragebogen wie Lauf 1/2
• U2 Singular (wie Original)
• K10 bleibt 1, „mittel“ und Ausschluss passen zusammen</t>
  </si>
  <si>
    <t>• Keine Neuansätze
• Nur Vertrauen (5 Konstrukte, 4 H, alle +)
• RAA „mäßig“, raus, passt
• 16 Items Fragebogen 4 deutsch, nichts übersetzt, „(übersetzt)“ also nicht prüfbar
• Invers U1-U3, D3, T2 alle richtig</t>
  </si>
  <si>
    <t>• Wie Lauf 1
• RAA „mäßig“, raus wegen technologieunspezifisch
• Invers ok</t>
  </si>
  <si>
    <t>• Wie Lauf 1
• K10 = 0: TAM (Davis 1989) angeblich im Hintergrundteil der Quellen, steht da nicht
• I3 Singular statt Plural (Kleinigkeit)</t>
  </si>
  <si>
    <t>• Wie v4: nur Vertrauen, 16 Items Fragebogen 4, Quellen ok
• Neu: begründet, warum Vertrauensneigung und Risiko fehlen
• Aber alle Items als „(übersetzt)“ markiert, obwohl die deutsche Fassung drin ist
• Quelle stimmt trotzdem</t>
  </si>
  <si>
    <t>• Wie Lauf 1, Markierungen diesmal richtig
• Invers ok</t>
  </si>
  <si>
    <t>• Wie Lauf 1
• K10 = 0: TAM wieder „im Literaturüberblick genannt“, steht nicht drin (wie v4 Lauf 3)</t>
  </si>
  <si>
    <t>Mit v4</t>
  </si>
  <si>
    <t>Paper</t>
  </si>
  <si>
    <t>Konstrukte Original</t>
  </si>
  <si>
    <t>Konstrukte getroffen</t>
  </si>
  <si>
    <t>Quote Konstrukte</t>
  </si>
  <si>
    <t>Items Original</t>
  </si>
  <si>
    <t>Items inhaltlich übereinstimmend</t>
  </si>
  <si>
    <t>Quote Items</t>
  </si>
  <si>
    <t>Paper 1</t>
  </si>
  <si>
    <t>• Alle 11 + Abilities und Nonadaptive Rewards
• Fast alles „(übersetzt)“ mit erfundenen IDs, im Paper stehen aber keine Items (K2 verletzt)
• Treffer vor allem Intention, PBC, Normen
• Attitude (disease) daneben
• 3 Neustarts, letzte Fassung bewertet</t>
  </si>
  <si>
    <t>• Alle 11 (+2)
• Gleiches Problem mit „(übersetzt)“ und Fake-IDs
• Attitude (disease) daneben
• 3 Neustarts</t>
  </si>
  <si>
    <t>• Costs/Barriers fehlt
• Fake-IDs, Quelle teils einfach „Paper Fragebogen 1.pdf“
• 4 Neustarts</t>
  </si>
  <si>
    <t>Paper 3</t>
  </si>
  <si>
    <t>• TTF nur 1 allgemeines Konstrukt statt 8 je Aufgabentyp (0/8)
• Fake-IDs (z
• B
• BI_3, gibts im Original nicht)
• Nur 4 von 8 Aufgabentypen
• Tabelle hört mittendrin auf</t>
  </si>
  <si>
    <t>• TTF wieder nur allgemein
• Fake-IDs
• 5 von 8 Aufgabentypen</t>
  </si>
  <si>
    <t>• Nur BI und PERF eigenständig, Aufgaben- und Technologiemerkmale je in ein Sammelkonstrukt gepackt, Aufgaben-Items sind Doppelfragen
• Fake-IDs</t>
  </si>
  <si>
    <t>P1: Akzeptanz von KI-gestützten Systemen bei medizinischen Behandlungen / Patientinnen und Patienten / KI-gestützte Gesundheitsinformationssysteme bei der eigenen Behandlung / die Nutzungsabsicht</t>
  </si>
  <si>
    <t>P3: Nutzung von Virtual Reality für berufliche Aufgaben / Berufstätige / Virtual Reality bei der eigenen Arbeit / die Nutzungsabsicht und die wahrgenommene Leistung</t>
  </si>
  <si>
    <t>Treffer = gleiche Aussage, gleiche Richtung, nichts dazu. Sinnverkehrt zählt nicht.</t>
  </si>
  <si>
    <t>Mit v5</t>
  </si>
  <si>
    <t>• Alles „neu formuliert“, keine Fake-IDs mehr
• Kosten in den Hypothesen, aber keine Items dazu</t>
  </si>
  <si>
    <t>• Alles „neu formuliert“
• Alle 11 (+ Abilities, Nonadaptive Rewards)</t>
  </si>
  <si>
    <t>• Alles „neu formuliert“
• Alle 11 (+2)</t>
  </si>
  <si>
    <t>• Alle 8 Aufgabentypen + 3 Technologiemerkmale getrennt, alles „neu formuliert“
• TTF weiter nur allgemein (0/8)</t>
  </si>
  <si>
    <t>• Wie Lauf 1, TTF wieder nur allgemein</t>
  </si>
  <si>
    <t>Test</t>
  </si>
  <si>
    <t>Quellenregel</t>
  </si>
  <si>
    <t>Material</t>
  </si>
  <si>
    <t>Theorien im Modell</t>
  </si>
  <si>
    <t>RAA-Konstrukte</t>
  </si>
  <si>
    <t>Konstrukte</t>
  </si>
  <si>
    <t>Neuansätze</t>
  </si>
  <si>
    <t>Breiter als v3?</t>
  </si>
  <si>
    <t>Auffälligkeiten</t>
  </si>
  <si>
    <t>v3 (Referenz)</t>
  </si>
  <si>
    <t>ja</t>
  </si>
  <si>
    <t>DE+EN</t>
  </si>
  <si>
    <t>Vertrauen</t>
  </si>
  <si>
    <t>keine</t>
  </si>
  <si>
    <t>–</t>
  </si>
  <si>
    <t>• Fragebogen 4 komplett</t>
  </si>
  <si>
    <t>nein</t>
  </si>
  <si>
    <t>Vertrauen + UTAUT2/TAM (PU, PEOU) + PBC</t>
  </si>
  <si>
    <t>nur Kontrolle</t>
  </si>
  <si>
    <t>• RAA nur für die Zielgröße erwähnt</t>
  </si>
  <si>
    <t>Vertrauen + UTAUT2 (PU, PEOU)</t>
  </si>
  <si>
    <t>B</t>
  </si>
  <si>
    <t>nur EN</t>
  </si>
  <si>
    <t>• Items übersetzt; D1 durch Übersetzung sinnverkehrt („keinen Zweifel, dass … weitergibt“) und als invers markiert</t>
  </si>
  <si>
    <t>Vertrauen + PEOU</t>
  </si>
  <si>
    <t>Vertrauen + RAA</t>
  </si>
  <si>
    <t>Einstellung, Normen, Kontrolle</t>
  </si>
  <si>
    <t>• Hypothese Kontrolle -&gt; Nutzungsabsicht mit (−), laut RAA (+)</t>
  </si>
  <si>
    <t>C</t>
  </si>
  <si>
    <t>Vertrauen + TAM/UTAUT2 (PU, PEOU) + PBC</t>
  </si>
  <si>
    <t>• Kontrolle -&gt; Nutzungsabsicht mit (−); Benevolence fehlt</t>
  </si>
  <si>
    <t>Vertrauen + RAA + TAM</t>
  </si>
  <si>
    <t>• größtes Modell, trotzdem kein Abbruch; Kontrolle -&gt; Nutzungsabsicht (+/−)</t>
  </si>
  <si>
    <t>ja (+ Übersetzungsregel)</t>
  </si>
  <si>
    <t>• kein Item übersetzt</t>
  </si>
  <si>
    <t>• TAM fälschlich als Quelle genannt</t>
  </si>
  <si>
    <t>Ergebnis (nur 3 Läufe pro Test, also eher Tendenz):</t>
  </si>
  <si>
    <t>• v3 mit beidem: 3/3 nur Vertrauen</t>
  </si>
  <si>
    <t>• A ohne Quellenregel: 2/3 breiter, RAA aber nie komplett</t>
  </si>
  <si>
    <t>• B nur englisch: 2/3 breiter, 1x komplettes RAA</t>
  </si>
  <si>
    <t>• C beides weg: 2/3 breiter, 1x größtes Modell mit RAA + TAM (10 Konstrukte)</t>
  </si>
  <si>
    <t>• Eng wirds nur stabil, wenn Quellenregel und deutscher Fragebogen 4 zusammenkommen. Fällt eins weg, wirds meist breiter. Komplettes RAA nur mit englischem Material. In jeder Variante bleibt 1 von 3 Läufen beim Vertrauensmodell</t>
  </si>
  <si>
    <t>• Keine Abbrüche, auch nicht bei 10 Konstrukten. In v1 sind Fassungen mit 6-8 Konstrukten abgebrochen, der Längen-Block scheint also zu wirken</t>
  </si>
  <si>
    <t>• Sobald RAA drin ist, kommt Kontrolle -&gt; Nutzungsabsicht öfter mit Minus raus (falsch)</t>
  </si>
  <si>
    <t>• Übersetzen ist riskant: D1 in B Lauf 1 sinnverkehrt</t>
  </si>
  <si>
    <t>• v4 (Übersetzungsregel, Material gleich): 0 von 3 breiter. Mit einer Anweisung allein krieg ich die Verengung nicht weg</t>
  </si>
  <si>
    <t>• K1, K4, K7, K8 sollten passen, Zusatzkapitel weg
• Sorge: mehr erfundene Items, weil 3-5 Pflicht und keine Regel woher
• Schritte + Format gleichzeitig drin -&gt; nicht trennbar</t>
  </si>
  <si>
    <t>Ursachentest: Warum immer nur Vertrauensmodell?</t>
  </si>
  <si>
    <t>• A = v3 ohne Quellenregel
• B = v3, aber paper 4 nur englisch
• C = beides
• übersetzte Items ok, wenn Bedeutung gleich + Quelle stimmt</t>
  </si>
  <si>
    <t>v4_lauf1.pdf
v4_lauf2.pdf
v4_lauf3.pdf
rek4_p1_lauf1.pdf
rek4_p1_lauf2.pdf
rek4_p1_lauf3.pdf
rek4_p3_lauf1.pdf (Paper 3)
rek4_p3_lauf2.pdf (Paper 3)
rek4_p3_lauf3.pdf (Paper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</si>
</sst>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0F2F57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sz val="9.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2F57"/>
        <bgColor rgb="FF333333"/>
      </patternFill>
    </fill>
    <fill>
      <patternFill patternType="solid">
        <fgColor rgb="FFFFF6CC"/>
        <bgColor rgb="FFFFFFFF"/>
      </patternFill>
    </fill>
  </fills>
  <borders count="2">
    <border>
      <left/>
      <right/>
      <top/>
      <bottom/>
      <diagonal/>
    </border>
    <border>
      <left style="thin">
        <color rgb="FFCDD5E0"/>
      </left>
      <right style="thin">
        <color rgb="FFCDD5E0"/>
      </right>
      <top style="thin">
        <color rgb="FFCDD5E0"/>
      </top>
      <bottom style="thin">
        <color rgb="FFCDD5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D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F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pane xSplit="1" ySplit="1" topLeftCell="D4" activePane="bottomRight" state="frozen"/>
      <selection pane="topRight" activeCell="B1" sqref="B1"/>
      <selection pane="bottomLeft" activeCell="A2" sqref="A2"/>
      <selection pane="bottomRight" activeCell="I5" sqref="I5"/>
    </sheetView>
  </sheetViews>
  <sheetFormatPr baseColWidth="10" defaultColWidth="8.7109375" defaultRowHeight="15" x14ac:dyDescent="0.25"/>
  <cols>
    <col min="1" max="3" width="10" customWidth="1"/>
    <col min="4" max="5" width="40" customWidth="1"/>
    <col min="6" max="6" width="38" customWidth="1"/>
    <col min="7" max="7" width="12" customWidth="1"/>
    <col min="8" max="8" width="87.28515625" customWidth="1"/>
    <col min="9" max="9" width="32" customWidth="1"/>
  </cols>
  <sheetData>
    <row r="1" spans="1:9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9.25" customHeight="1" x14ac:dyDescent="0.25">
      <c r="A2" s="2" t="s">
        <v>9</v>
      </c>
      <c r="B2" s="3">
        <v>46323</v>
      </c>
      <c r="C2" s="2" t="s">
        <v>10</v>
      </c>
      <c r="D2" s="2" t="s">
        <v>11</v>
      </c>
      <c r="E2" s="2" t="s">
        <v>12</v>
      </c>
      <c r="F2" s="2" t="s">
        <v>13</v>
      </c>
      <c r="G2" s="4">
        <f>IFERROR(AVERAGEIF(Bewertung!$A$6:$A$23,A2,Bewertung!$P$6:$P$23),"")</f>
        <v>0.36363636363636359</v>
      </c>
      <c r="H2" s="2" t="s">
        <v>14</v>
      </c>
      <c r="I2" s="2" t="s">
        <v>15</v>
      </c>
    </row>
    <row r="3" spans="1:9" ht="93" customHeight="1" x14ac:dyDescent="0.25">
      <c r="A3" s="2" t="s">
        <v>16</v>
      </c>
      <c r="B3" s="3">
        <v>46323</v>
      </c>
      <c r="C3" s="2" t="s">
        <v>10</v>
      </c>
      <c r="D3" s="2" t="s">
        <v>17</v>
      </c>
      <c r="E3" s="2" t="s">
        <v>18</v>
      </c>
      <c r="F3" s="2" t="s">
        <v>179</v>
      </c>
      <c r="G3" s="4">
        <f>IFERROR(AVERAGEIF(Bewertung!$A$6:$A$23,A3,Bewertung!$P$6:$P$23),"")</f>
        <v>0.60606060606060608</v>
      </c>
      <c r="H3" s="2" t="s">
        <v>19</v>
      </c>
      <c r="I3" s="2" t="s">
        <v>20</v>
      </c>
    </row>
    <row r="4" spans="1:9" ht="100.5" customHeight="1" x14ac:dyDescent="0.25">
      <c r="A4" s="2" t="s">
        <v>21</v>
      </c>
      <c r="B4" s="3">
        <v>46323</v>
      </c>
      <c r="C4" s="2" t="s">
        <v>10</v>
      </c>
      <c r="D4" s="2" t="s">
        <v>22</v>
      </c>
      <c r="E4" s="2" t="s">
        <v>23</v>
      </c>
      <c r="F4" s="2" t="s">
        <v>24</v>
      </c>
      <c r="G4" s="4">
        <f>IFERROR(AVERAGEIF(Bewertung!$A$6:$A$23,A4,Bewertung!$P$6:$P$23),"")</f>
        <v>0.81818181818181823</v>
      </c>
      <c r="H4" s="2" t="s">
        <v>25</v>
      </c>
      <c r="I4" s="2" t="s">
        <v>26</v>
      </c>
    </row>
    <row r="5" spans="1:9" ht="122.25" customHeight="1" x14ac:dyDescent="0.25">
      <c r="A5" s="2" t="s">
        <v>27</v>
      </c>
      <c r="B5" s="3">
        <v>46323</v>
      </c>
      <c r="C5" s="2" t="s">
        <v>10</v>
      </c>
      <c r="D5" s="2" t="s">
        <v>28</v>
      </c>
      <c r="E5" s="2" t="s">
        <v>29</v>
      </c>
      <c r="F5" s="2" t="s">
        <v>30</v>
      </c>
      <c r="G5" s="4">
        <f>IFERROR(AVERAGEIF(Bewertung!$A$6:$A$23,A5,Bewertung!$P$6:$P$23),"")</f>
        <v>0.93939393939393945</v>
      </c>
      <c r="H5" s="2" t="s">
        <v>31</v>
      </c>
      <c r="I5" s="2" t="s">
        <v>32</v>
      </c>
    </row>
    <row r="6" spans="1:9" ht="123" customHeight="1" x14ac:dyDescent="0.25">
      <c r="A6" s="2" t="s">
        <v>33</v>
      </c>
      <c r="B6" s="3">
        <v>46324</v>
      </c>
      <c r="C6" s="2" t="s">
        <v>10</v>
      </c>
      <c r="D6" s="2" t="s">
        <v>34</v>
      </c>
      <c r="E6" s="2" t="s">
        <v>35</v>
      </c>
      <c r="F6" s="2" t="s">
        <v>36</v>
      </c>
      <c r="G6" s="4">
        <f>IFERROR(AVERAGEIF(Bewertung!$A$6:$A$23,A6,Bewertung!$P$6:$P$23),"")</f>
        <v>0.96969696969696972</v>
      </c>
      <c r="H6" s="2" t="s">
        <v>37</v>
      </c>
      <c r="I6" s="2" t="s">
        <v>182</v>
      </c>
    </row>
    <row r="7" spans="1:9" ht="140.25" customHeight="1" x14ac:dyDescent="0.25">
      <c r="A7" s="2" t="s">
        <v>38</v>
      </c>
      <c r="B7" s="3">
        <v>46324</v>
      </c>
      <c r="C7" s="2" t="s">
        <v>39</v>
      </c>
      <c r="D7" s="2" t="s">
        <v>40</v>
      </c>
      <c r="E7" s="2" t="s">
        <v>41</v>
      </c>
      <c r="F7" s="2" t="s">
        <v>42</v>
      </c>
      <c r="G7" s="4">
        <f>IFERROR(AVERAGEIF(Bewertung!$A$6:$A$23,A7,Bewertung!$P$6:$P$23),"")</f>
        <v>0.96969696969696972</v>
      </c>
      <c r="H7" s="2" t="s">
        <v>43</v>
      </c>
      <c r="I7" s="2" t="s">
        <v>44</v>
      </c>
    </row>
    <row r="8" spans="1:9" ht="51" customHeight="1" x14ac:dyDescent="0.25">
      <c r="A8" s="2" t="s">
        <v>45</v>
      </c>
      <c r="B8" s="3">
        <v>46324</v>
      </c>
      <c r="C8" s="2" t="s">
        <v>46</v>
      </c>
      <c r="D8" s="2" t="s">
        <v>47</v>
      </c>
      <c r="E8" s="2" t="s">
        <v>48</v>
      </c>
      <c r="F8" s="2" t="s">
        <v>49</v>
      </c>
      <c r="G8" s="4" t="str">
        <f>IFERROR(AVERAGEIF(Bewertung!$A$6:$A$23,A8,Bewertung!$P$6:$P$23),"")</f>
        <v/>
      </c>
      <c r="H8" s="2" t="s">
        <v>50</v>
      </c>
      <c r="I8" s="2" t="s">
        <v>51</v>
      </c>
    </row>
    <row r="9" spans="1:9" ht="76.5" customHeight="1" x14ac:dyDescent="0.25">
      <c r="A9" s="2" t="s">
        <v>52</v>
      </c>
      <c r="B9" s="3">
        <v>46324</v>
      </c>
      <c r="C9" s="2" t="s">
        <v>39</v>
      </c>
      <c r="D9" s="2" t="s">
        <v>53</v>
      </c>
      <c r="E9" s="2"/>
      <c r="F9" s="2"/>
      <c r="G9" s="4" t="str">
        <f>IFERROR(AVERAGEIF(Bewertung!$A$6:$A$23,A9,Bewertung!$P$6:$P$23),"")</f>
        <v/>
      </c>
      <c r="H9" s="2" t="s">
        <v>54</v>
      </c>
      <c r="I9" s="2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zoomScale="85" zoomScaleNormal="85" workbookViewId="0">
      <pane xSplit="3" ySplit="5" topLeftCell="D6" activePane="bottomRight" state="frozen"/>
      <selection pane="topRight" activeCell="D1" sqref="D1"/>
      <selection pane="bottomLeft" activeCell="A12" sqref="A12"/>
      <selection pane="bottomRight" activeCell="L31" sqref="L31"/>
    </sheetView>
  </sheetViews>
  <sheetFormatPr baseColWidth="10" defaultColWidth="8.7109375" defaultRowHeight="15" x14ac:dyDescent="0.25"/>
  <cols>
    <col min="1" max="1" width="11" customWidth="1"/>
    <col min="2" max="2" width="7" customWidth="1"/>
    <col min="3" max="3" width="11" customWidth="1"/>
    <col min="4" max="14" width="13" customWidth="1"/>
    <col min="15" max="16" width="9" customWidth="1"/>
    <col min="17" max="17" width="81.7109375" customWidth="1"/>
  </cols>
  <sheetData>
    <row r="1" spans="1:17" ht="15.75" customHeight="1" x14ac:dyDescent="0.25">
      <c r="A1" s="5" t="s">
        <v>56</v>
      </c>
    </row>
    <row r="2" spans="1:17" ht="89.25" customHeight="1" x14ac:dyDescent="0.25">
      <c r="A2" s="6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</row>
    <row r="3" spans="1:17" ht="25.5" customHeight="1" x14ac:dyDescent="0.25">
      <c r="A3" s="6" t="s">
        <v>69</v>
      </c>
      <c r="D3" s="2" t="s">
        <v>70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73</v>
      </c>
      <c r="J3" s="2" t="s">
        <v>73</v>
      </c>
      <c r="K3" s="2" t="s">
        <v>70</v>
      </c>
      <c r="L3" s="2" t="s">
        <v>70</v>
      </c>
      <c r="M3" s="2" t="s">
        <v>70</v>
      </c>
      <c r="N3" s="2" t="s">
        <v>73</v>
      </c>
    </row>
    <row r="4" spans="1:17" ht="15" customHeight="1" x14ac:dyDescent="0.25">
      <c r="L4" s="6"/>
      <c r="M4" s="6"/>
      <c r="N4" s="6" t="s">
        <v>74</v>
      </c>
      <c r="O4" s="6">
        <f>COUNTA(D2:N2)</f>
        <v>11</v>
      </c>
    </row>
    <row r="5" spans="1:17" ht="15" customHeight="1" x14ac:dyDescent="0.25">
      <c r="A5" s="1" t="s">
        <v>0</v>
      </c>
      <c r="B5" s="1" t="s">
        <v>75</v>
      </c>
      <c r="C5" s="1" t="s">
        <v>1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  <c r="Q5" s="1" t="s">
        <v>89</v>
      </c>
    </row>
    <row r="6" spans="1:17" ht="63.75" customHeight="1" x14ac:dyDescent="0.25">
      <c r="A6" s="2" t="s">
        <v>9</v>
      </c>
      <c r="B6" s="2">
        <v>1</v>
      </c>
      <c r="C6" s="3">
        <v>46323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1</v>
      </c>
      <c r="O6" s="7">
        <f t="shared" ref="O6:O23" si="0">IF(COUNT(D6:N6)=0,"",SUM(D6:N6))</f>
        <v>5</v>
      </c>
      <c r="P6" s="4">
        <f t="shared" ref="P6:P23" si="1">IF(O6="","",O6/$O$4)</f>
        <v>0.45454545454545453</v>
      </c>
      <c r="Q6" s="2" t="s">
        <v>90</v>
      </c>
    </row>
    <row r="7" spans="1:17" ht="51" customHeight="1" x14ac:dyDescent="0.25">
      <c r="A7" s="2" t="s">
        <v>9</v>
      </c>
      <c r="B7" s="2">
        <v>2</v>
      </c>
      <c r="C7" s="3">
        <v>46323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7">
        <f t="shared" si="0"/>
        <v>3</v>
      </c>
      <c r="P7" s="4">
        <f t="shared" si="1"/>
        <v>0.27272727272727271</v>
      </c>
      <c r="Q7" s="2" t="s">
        <v>91</v>
      </c>
    </row>
    <row r="8" spans="1:17" ht="63.75" customHeight="1" x14ac:dyDescent="0.25">
      <c r="A8" s="2" t="s">
        <v>9</v>
      </c>
      <c r="B8" s="2">
        <v>3</v>
      </c>
      <c r="C8" s="3">
        <v>46323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1</v>
      </c>
      <c r="N8" s="2">
        <v>1</v>
      </c>
      <c r="O8" s="7">
        <f t="shared" si="0"/>
        <v>4</v>
      </c>
      <c r="P8" s="4">
        <f t="shared" si="1"/>
        <v>0.36363636363636365</v>
      </c>
      <c r="Q8" s="2" t="s">
        <v>92</v>
      </c>
    </row>
    <row r="9" spans="1:17" ht="63.75" customHeight="1" x14ac:dyDescent="0.25">
      <c r="A9" s="2" t="s">
        <v>16</v>
      </c>
      <c r="B9" s="2">
        <v>1</v>
      </c>
      <c r="C9" s="3">
        <v>46323</v>
      </c>
      <c r="D9" s="2">
        <v>1</v>
      </c>
      <c r="E9" s="2">
        <v>0</v>
      </c>
      <c r="F9" s="2">
        <v>0</v>
      </c>
      <c r="G9" s="2">
        <v>1</v>
      </c>
      <c r="H9" s="2">
        <v>1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7">
        <f t="shared" si="0"/>
        <v>6</v>
      </c>
      <c r="P9" s="4">
        <f t="shared" si="1"/>
        <v>0.54545454545454541</v>
      </c>
      <c r="Q9" s="2" t="s">
        <v>93</v>
      </c>
    </row>
    <row r="10" spans="1:17" ht="63.75" customHeight="1" x14ac:dyDescent="0.25">
      <c r="A10" s="2" t="s">
        <v>16</v>
      </c>
      <c r="B10" s="2">
        <v>2</v>
      </c>
      <c r="C10" s="3">
        <v>46323</v>
      </c>
      <c r="D10" s="2">
        <v>1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7">
        <f t="shared" si="0"/>
        <v>6</v>
      </c>
      <c r="P10" s="4">
        <f t="shared" si="1"/>
        <v>0.54545454545454541</v>
      </c>
      <c r="Q10" s="2" t="s">
        <v>94</v>
      </c>
    </row>
    <row r="11" spans="1:17" ht="63.75" customHeight="1" x14ac:dyDescent="0.25">
      <c r="A11" s="2" t="s">
        <v>16</v>
      </c>
      <c r="B11" s="2">
        <v>3</v>
      </c>
      <c r="C11" s="3">
        <v>46323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7">
        <f t="shared" si="0"/>
        <v>8</v>
      </c>
      <c r="P11" s="4">
        <f t="shared" si="1"/>
        <v>0.72727272727272729</v>
      </c>
      <c r="Q11" s="2" t="s">
        <v>95</v>
      </c>
    </row>
    <row r="12" spans="1:17" ht="51" customHeight="1" x14ac:dyDescent="0.25">
      <c r="A12" s="2" t="s">
        <v>21</v>
      </c>
      <c r="B12" s="2">
        <v>1</v>
      </c>
      <c r="C12" s="3">
        <v>46323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</v>
      </c>
      <c r="N12" s="2">
        <v>0</v>
      </c>
      <c r="O12" s="7">
        <f t="shared" si="0"/>
        <v>9</v>
      </c>
      <c r="P12" s="4">
        <f t="shared" si="1"/>
        <v>0.81818181818181823</v>
      </c>
      <c r="Q12" s="2" t="s">
        <v>96</v>
      </c>
    </row>
    <row r="13" spans="1:17" ht="25.5" customHeight="1" x14ac:dyDescent="0.25">
      <c r="A13" s="2" t="s">
        <v>21</v>
      </c>
      <c r="B13" s="2">
        <v>2</v>
      </c>
      <c r="C13" s="3">
        <v>46323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7">
        <f t="shared" si="0"/>
        <v>9</v>
      </c>
      <c r="P13" s="4">
        <f t="shared" si="1"/>
        <v>0.81818181818181823</v>
      </c>
      <c r="Q13" s="2" t="s">
        <v>97</v>
      </c>
    </row>
    <row r="14" spans="1:17" ht="25.5" customHeight="1" x14ac:dyDescent="0.25">
      <c r="A14" s="2" t="s">
        <v>21</v>
      </c>
      <c r="B14" s="2">
        <v>3</v>
      </c>
      <c r="C14" s="3">
        <v>46323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7">
        <f t="shared" si="0"/>
        <v>9</v>
      </c>
      <c r="P14" s="4">
        <f t="shared" si="1"/>
        <v>0.81818181818181823</v>
      </c>
      <c r="Q14" s="2" t="s">
        <v>98</v>
      </c>
    </row>
    <row r="15" spans="1:17" ht="51" customHeight="1" x14ac:dyDescent="0.25">
      <c r="A15" s="2" t="s">
        <v>27</v>
      </c>
      <c r="B15" s="2">
        <v>1</v>
      </c>
      <c r="C15" s="3">
        <v>46323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7">
        <f t="shared" si="0"/>
        <v>10</v>
      </c>
      <c r="P15" s="4">
        <f t="shared" si="1"/>
        <v>0.90909090909090906</v>
      </c>
      <c r="Q15" s="2" t="s">
        <v>99</v>
      </c>
    </row>
    <row r="16" spans="1:17" ht="38.25" customHeight="1" x14ac:dyDescent="0.25">
      <c r="A16" s="2" t="s">
        <v>27</v>
      </c>
      <c r="B16" s="2">
        <v>2</v>
      </c>
      <c r="C16" s="3">
        <v>46323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</v>
      </c>
      <c r="N16" s="2">
        <v>1</v>
      </c>
      <c r="O16" s="7">
        <f t="shared" si="0"/>
        <v>10</v>
      </c>
      <c r="P16" s="4">
        <f t="shared" si="1"/>
        <v>0.90909090909090906</v>
      </c>
      <c r="Q16" s="2" t="s">
        <v>100</v>
      </c>
    </row>
    <row r="17" spans="1:17" ht="38.25" customHeight="1" x14ac:dyDescent="0.25">
      <c r="A17" s="2" t="s">
        <v>27</v>
      </c>
      <c r="B17" s="2">
        <v>3</v>
      </c>
      <c r="C17" s="3">
        <v>46323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7">
        <f t="shared" si="0"/>
        <v>11</v>
      </c>
      <c r="P17" s="4">
        <f t="shared" si="1"/>
        <v>1</v>
      </c>
      <c r="Q17" s="2" t="s">
        <v>101</v>
      </c>
    </row>
    <row r="18" spans="1:17" ht="38.25" customHeight="1" x14ac:dyDescent="0.25">
      <c r="A18" s="2" t="s">
        <v>33</v>
      </c>
      <c r="B18" s="2">
        <v>1</v>
      </c>
      <c r="C18" s="3">
        <v>46324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7">
        <f t="shared" si="0"/>
        <v>11</v>
      </c>
      <c r="P18" s="4">
        <f t="shared" si="1"/>
        <v>1</v>
      </c>
      <c r="Q18" s="2" t="s">
        <v>102</v>
      </c>
    </row>
    <row r="19" spans="1:17" ht="15" customHeight="1" x14ac:dyDescent="0.25">
      <c r="A19" s="2" t="s">
        <v>33</v>
      </c>
      <c r="B19" s="2">
        <v>2</v>
      </c>
      <c r="C19" s="3">
        <v>46324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7">
        <f t="shared" si="0"/>
        <v>11</v>
      </c>
      <c r="P19" s="4">
        <f t="shared" si="1"/>
        <v>1</v>
      </c>
      <c r="Q19" s="2" t="s">
        <v>103</v>
      </c>
    </row>
    <row r="20" spans="1:17" ht="25.5" customHeight="1" x14ac:dyDescent="0.25">
      <c r="A20" s="2" t="s">
        <v>33</v>
      </c>
      <c r="B20" s="2">
        <v>3</v>
      </c>
      <c r="C20" s="3">
        <v>46324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1</v>
      </c>
      <c r="O20" s="7">
        <f t="shared" si="0"/>
        <v>10</v>
      </c>
      <c r="P20" s="4">
        <f t="shared" si="1"/>
        <v>0.90909090909090906</v>
      </c>
      <c r="Q20" s="2" t="s">
        <v>104</v>
      </c>
    </row>
    <row r="21" spans="1:17" ht="38.25" customHeight="1" x14ac:dyDescent="0.25">
      <c r="A21" s="2" t="s">
        <v>38</v>
      </c>
      <c r="B21" s="2">
        <v>1</v>
      </c>
      <c r="C21" s="3">
        <v>46324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7">
        <f t="shared" si="0"/>
        <v>11</v>
      </c>
      <c r="P21" s="4">
        <f t="shared" si="1"/>
        <v>1</v>
      </c>
      <c r="Q21" s="2" t="s">
        <v>105</v>
      </c>
    </row>
    <row r="22" spans="1:17" ht="15" customHeight="1" x14ac:dyDescent="0.25">
      <c r="A22" s="2" t="s">
        <v>38</v>
      </c>
      <c r="B22" s="2">
        <v>2</v>
      </c>
      <c r="C22" s="3">
        <v>46324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7">
        <f t="shared" si="0"/>
        <v>11</v>
      </c>
      <c r="P22" s="4">
        <f t="shared" si="1"/>
        <v>1</v>
      </c>
      <c r="Q22" s="2" t="s">
        <v>106</v>
      </c>
    </row>
    <row r="23" spans="1:17" ht="25.5" customHeight="1" x14ac:dyDescent="0.25">
      <c r="A23" s="2" t="s">
        <v>38</v>
      </c>
      <c r="B23" s="2">
        <v>3</v>
      </c>
      <c r="C23" s="3">
        <v>46324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7">
        <f t="shared" si="0"/>
        <v>10</v>
      </c>
      <c r="P23" s="4">
        <f t="shared" si="1"/>
        <v>0.90909090909090906</v>
      </c>
      <c r="Q23" s="2" t="s">
        <v>107</v>
      </c>
    </row>
  </sheetData>
  <dataValidations count="1">
    <dataValidation type="whole" allowBlank="1" errorTitle="Ungültig" error="Bitte 0 oder 1 eintragen" sqref="D6:N23" xr:uid="{00000000-0002-0000-01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zoomScaleNormal="100" workbookViewId="0">
      <selection activeCell="A14" sqref="A14:I14"/>
    </sheetView>
  </sheetViews>
  <sheetFormatPr baseColWidth="10" defaultColWidth="8.7109375" defaultRowHeight="15" x14ac:dyDescent="0.25"/>
  <cols>
    <col min="1" max="1" width="10" customWidth="1"/>
    <col min="2" max="2" width="7" customWidth="1"/>
    <col min="3" max="4" width="13" customWidth="1"/>
    <col min="5" max="6" width="12" customWidth="1"/>
    <col min="7" max="7" width="16" customWidth="1"/>
    <col min="8" max="8" width="11" customWidth="1"/>
    <col min="9" max="9" width="48" customWidth="1"/>
  </cols>
  <sheetData>
    <row r="1" spans="1:9" x14ac:dyDescent="0.25">
      <c r="A1" s="8" t="s">
        <v>108</v>
      </c>
      <c r="B1" s="9"/>
      <c r="C1" s="9"/>
      <c r="D1" s="9"/>
      <c r="E1" s="9"/>
      <c r="F1" s="9"/>
      <c r="G1" s="9"/>
      <c r="H1" s="9"/>
      <c r="I1" s="9"/>
    </row>
    <row r="2" spans="1:9" ht="60" customHeight="1" x14ac:dyDescent="0.25">
      <c r="A2" s="1" t="s">
        <v>109</v>
      </c>
      <c r="B2" s="1" t="s">
        <v>75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89</v>
      </c>
    </row>
    <row r="3" spans="1:9" ht="15" customHeight="1" x14ac:dyDescent="0.25">
      <c r="A3" s="2" t="s">
        <v>116</v>
      </c>
      <c r="B3" s="2">
        <v>1</v>
      </c>
      <c r="C3" s="2">
        <v>11</v>
      </c>
      <c r="D3" s="2">
        <v>11</v>
      </c>
      <c r="E3" s="4">
        <f t="shared" ref="E3:E8" si="0">IF(OR(C3="",D3=""),"",D3/C3)</f>
        <v>1</v>
      </c>
      <c r="F3" s="2">
        <v>37</v>
      </c>
      <c r="G3" s="2">
        <v>13</v>
      </c>
      <c r="H3" s="4">
        <f t="shared" ref="H3:H8" si="1">IF(OR(F3="",G3=""),"",G3/F3)</f>
        <v>0.35135135135135137</v>
      </c>
      <c r="I3" s="2" t="s">
        <v>117</v>
      </c>
    </row>
    <row r="4" spans="1:9" ht="15" customHeight="1" x14ac:dyDescent="0.25">
      <c r="A4" s="2" t="s">
        <v>116</v>
      </c>
      <c r="B4" s="2">
        <v>2</v>
      </c>
      <c r="C4" s="2">
        <v>11</v>
      </c>
      <c r="D4" s="2">
        <v>11</v>
      </c>
      <c r="E4" s="4">
        <f t="shared" si="0"/>
        <v>1</v>
      </c>
      <c r="F4" s="2">
        <v>37</v>
      </c>
      <c r="G4" s="2">
        <v>11</v>
      </c>
      <c r="H4" s="4">
        <f t="shared" si="1"/>
        <v>0.29729729729729731</v>
      </c>
      <c r="I4" s="2" t="s">
        <v>118</v>
      </c>
    </row>
    <row r="5" spans="1:9" ht="15" customHeight="1" x14ac:dyDescent="0.25">
      <c r="A5" s="2" t="s">
        <v>116</v>
      </c>
      <c r="B5" s="2">
        <v>3</v>
      </c>
      <c r="C5" s="2">
        <v>11</v>
      </c>
      <c r="D5" s="2">
        <v>10</v>
      </c>
      <c r="E5" s="4">
        <f t="shared" si="0"/>
        <v>0.90909090909090906</v>
      </c>
      <c r="F5" s="2">
        <v>37</v>
      </c>
      <c r="G5" s="2">
        <v>11</v>
      </c>
      <c r="H5" s="4">
        <f t="shared" si="1"/>
        <v>0.29729729729729731</v>
      </c>
      <c r="I5" s="2" t="s">
        <v>119</v>
      </c>
    </row>
    <row r="6" spans="1:9" ht="15" customHeight="1" x14ac:dyDescent="0.25">
      <c r="A6" s="2" t="s">
        <v>120</v>
      </c>
      <c r="B6" s="2">
        <v>1</v>
      </c>
      <c r="C6" s="2">
        <v>21</v>
      </c>
      <c r="D6" s="2">
        <v>9</v>
      </c>
      <c r="E6" s="4">
        <f t="shared" si="0"/>
        <v>0.42857142857142855</v>
      </c>
      <c r="F6" s="2">
        <v>62</v>
      </c>
      <c r="G6" s="2">
        <v>15</v>
      </c>
      <c r="H6" s="4">
        <f t="shared" si="1"/>
        <v>0.24193548387096775</v>
      </c>
      <c r="I6" s="2" t="s">
        <v>121</v>
      </c>
    </row>
    <row r="7" spans="1:9" ht="15" customHeight="1" x14ac:dyDescent="0.25">
      <c r="A7" s="2" t="s">
        <v>120</v>
      </c>
      <c r="B7" s="2">
        <v>2</v>
      </c>
      <c r="C7" s="2">
        <v>21</v>
      </c>
      <c r="D7" s="2">
        <v>10</v>
      </c>
      <c r="E7" s="4">
        <f t="shared" si="0"/>
        <v>0.47619047619047616</v>
      </c>
      <c r="F7" s="2">
        <v>62</v>
      </c>
      <c r="G7" s="2">
        <v>18</v>
      </c>
      <c r="H7" s="4">
        <f t="shared" si="1"/>
        <v>0.29032258064516131</v>
      </c>
      <c r="I7" s="2" t="s">
        <v>122</v>
      </c>
    </row>
    <row r="8" spans="1:9" ht="15" customHeight="1" x14ac:dyDescent="0.25">
      <c r="A8" s="2" t="s">
        <v>120</v>
      </c>
      <c r="B8" s="2">
        <v>3</v>
      </c>
      <c r="C8" s="2">
        <v>21</v>
      </c>
      <c r="D8" s="2">
        <v>2</v>
      </c>
      <c r="E8" s="4">
        <f t="shared" si="0"/>
        <v>9.5238095238095233E-2</v>
      </c>
      <c r="F8" s="2">
        <v>62</v>
      </c>
      <c r="G8" s="2">
        <v>5</v>
      </c>
      <c r="H8" s="4">
        <f t="shared" si="1"/>
        <v>8.0645161290322578E-2</v>
      </c>
      <c r="I8" s="2" t="s">
        <v>123</v>
      </c>
    </row>
    <row r="10" spans="1:9" ht="15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2" spans="1:9" ht="15" customHeight="1" x14ac:dyDescent="0.25">
      <c r="A12" s="13" t="s">
        <v>124</v>
      </c>
      <c r="B12" s="13"/>
      <c r="C12" s="13"/>
      <c r="D12" s="13"/>
      <c r="E12" s="13"/>
      <c r="F12" s="13"/>
      <c r="G12" s="13"/>
      <c r="H12" s="13"/>
      <c r="I12" s="13"/>
    </row>
    <row r="13" spans="1:9" ht="15" customHeight="1" x14ac:dyDescent="0.25">
      <c r="A13" s="13" t="s">
        <v>125</v>
      </c>
      <c r="B13" s="13"/>
      <c r="C13" s="13"/>
      <c r="D13" s="13"/>
      <c r="E13" s="13"/>
      <c r="F13" s="13"/>
      <c r="G13" s="13"/>
      <c r="H13" s="13"/>
      <c r="I13" s="13"/>
    </row>
    <row r="14" spans="1:9" ht="15" customHeight="1" x14ac:dyDescent="0.25">
      <c r="A14" s="13" t="s">
        <v>126</v>
      </c>
      <c r="B14" s="13"/>
      <c r="C14" s="13"/>
      <c r="D14" s="13"/>
      <c r="E14" s="13"/>
      <c r="F14" s="13"/>
      <c r="G14" s="13"/>
      <c r="H14" s="13"/>
      <c r="I14" s="13"/>
    </row>
    <row r="16" spans="1:9" ht="15" customHeight="1" x14ac:dyDescent="0.25">
      <c r="A16" s="11" t="s">
        <v>127</v>
      </c>
    </row>
    <row r="17" spans="1:9" ht="60" customHeight="1" x14ac:dyDescent="0.25">
      <c r="A17" s="1" t="s">
        <v>109</v>
      </c>
      <c r="B17" s="1" t="s">
        <v>75</v>
      </c>
      <c r="C17" s="1" t="s">
        <v>110</v>
      </c>
      <c r="D17" s="1" t="s">
        <v>111</v>
      </c>
      <c r="E17" s="1" t="s">
        <v>112</v>
      </c>
      <c r="F17" s="1" t="s">
        <v>113</v>
      </c>
      <c r="G17" s="1" t="s">
        <v>114</v>
      </c>
      <c r="H17" s="1" t="s">
        <v>115</v>
      </c>
      <c r="I17" s="1" t="s">
        <v>89</v>
      </c>
    </row>
    <row r="18" spans="1:9" ht="34.5" customHeight="1" x14ac:dyDescent="0.25">
      <c r="A18" s="2" t="s">
        <v>116</v>
      </c>
      <c r="B18" s="2">
        <v>1</v>
      </c>
      <c r="C18" s="2">
        <v>11</v>
      </c>
      <c r="D18" s="2">
        <v>10</v>
      </c>
      <c r="E18" s="4">
        <f t="shared" ref="E18:E23" si="2">IF(OR(C18="",D18=""),"",D18/C18)</f>
        <v>0.90909090909090906</v>
      </c>
      <c r="F18" s="2">
        <v>37</v>
      </c>
      <c r="G18" s="2">
        <v>11</v>
      </c>
      <c r="H18" s="4">
        <f t="shared" ref="H18:H23" si="3">IF(OR(F18="",G18=""),"",G18/F18)</f>
        <v>0.29729729729729731</v>
      </c>
      <c r="I18" s="2" t="s">
        <v>128</v>
      </c>
    </row>
    <row r="19" spans="1:9" ht="34.5" customHeight="1" x14ac:dyDescent="0.25">
      <c r="A19" s="2" t="s">
        <v>116</v>
      </c>
      <c r="B19" s="2">
        <v>2</v>
      </c>
      <c r="C19" s="2">
        <v>11</v>
      </c>
      <c r="D19" s="2">
        <v>11</v>
      </c>
      <c r="E19" s="4">
        <f t="shared" si="2"/>
        <v>1</v>
      </c>
      <c r="F19" s="2">
        <v>37</v>
      </c>
      <c r="G19" s="2">
        <v>12</v>
      </c>
      <c r="H19" s="4">
        <f t="shared" si="3"/>
        <v>0.32432432432432434</v>
      </c>
      <c r="I19" s="2" t="s">
        <v>129</v>
      </c>
    </row>
    <row r="20" spans="1:9" ht="23.25" customHeight="1" x14ac:dyDescent="0.25">
      <c r="A20" s="2" t="s">
        <v>116</v>
      </c>
      <c r="B20" s="2">
        <v>3</v>
      </c>
      <c r="C20" s="2">
        <v>11</v>
      </c>
      <c r="D20" s="2">
        <v>11</v>
      </c>
      <c r="E20" s="4">
        <f t="shared" si="2"/>
        <v>1</v>
      </c>
      <c r="F20" s="2">
        <v>37</v>
      </c>
      <c r="G20" s="2">
        <v>11</v>
      </c>
      <c r="H20" s="4">
        <f t="shared" si="3"/>
        <v>0.29729729729729731</v>
      </c>
      <c r="I20" s="2" t="s">
        <v>130</v>
      </c>
    </row>
    <row r="21" spans="1:9" ht="23.25" customHeight="1" x14ac:dyDescent="0.25">
      <c r="A21" s="2" t="s">
        <v>120</v>
      </c>
      <c r="B21" s="2">
        <v>1</v>
      </c>
      <c r="C21" s="2">
        <v>21</v>
      </c>
      <c r="D21" s="2">
        <v>13</v>
      </c>
      <c r="E21" s="4">
        <f t="shared" si="2"/>
        <v>0.61904761904761907</v>
      </c>
      <c r="F21" s="2">
        <v>62</v>
      </c>
      <c r="G21" s="2">
        <v>27</v>
      </c>
      <c r="H21" s="4">
        <f t="shared" si="3"/>
        <v>0.43548387096774194</v>
      </c>
      <c r="I21" s="2" t="s">
        <v>131</v>
      </c>
    </row>
    <row r="22" spans="1:9" ht="23.25" customHeight="1" x14ac:dyDescent="0.25">
      <c r="A22" s="2" t="s">
        <v>120</v>
      </c>
      <c r="B22" s="2">
        <v>2</v>
      </c>
      <c r="C22" s="2">
        <v>21</v>
      </c>
      <c r="D22" s="2">
        <v>13</v>
      </c>
      <c r="E22" s="4">
        <f t="shared" si="2"/>
        <v>0.61904761904761907</v>
      </c>
      <c r="F22" s="2">
        <v>62</v>
      </c>
      <c r="G22" s="2">
        <v>24</v>
      </c>
      <c r="H22" s="4">
        <f t="shared" si="3"/>
        <v>0.38709677419354838</v>
      </c>
      <c r="I22" s="2" t="s">
        <v>132</v>
      </c>
    </row>
    <row r="23" spans="1:9" ht="23.25" customHeight="1" x14ac:dyDescent="0.25">
      <c r="A23" s="2" t="s">
        <v>120</v>
      </c>
      <c r="B23" s="2">
        <v>3</v>
      </c>
      <c r="C23" s="2">
        <v>21</v>
      </c>
      <c r="D23" s="2">
        <v>13</v>
      </c>
      <c r="E23" s="4">
        <f t="shared" si="2"/>
        <v>0.61904761904761907</v>
      </c>
      <c r="F23" s="2">
        <v>62</v>
      </c>
      <c r="G23" s="2">
        <v>22</v>
      </c>
      <c r="H23" s="4">
        <f t="shared" si="3"/>
        <v>0.35483870967741937</v>
      </c>
      <c r="I23" s="2" t="s">
        <v>132</v>
      </c>
    </row>
  </sheetData>
  <mergeCells count="3">
    <mergeCell ref="A12:I12"/>
    <mergeCell ref="A13:I13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zoomScaleNormal="100" workbookViewId="0">
      <pane ySplit="4" topLeftCell="A5" activePane="bottomLeft" state="frozen"/>
      <selection pane="bottomLeft" activeCell="L13" sqref="L13"/>
    </sheetView>
  </sheetViews>
  <sheetFormatPr baseColWidth="10" defaultColWidth="8.7109375" defaultRowHeight="15" x14ac:dyDescent="0.25"/>
  <cols>
    <col min="1" max="1" width="13" customWidth="1"/>
    <col min="2" max="2" width="6" customWidth="1"/>
    <col min="3" max="3" width="11" customWidth="1"/>
    <col min="4" max="4" width="10" customWidth="1"/>
    <col min="5" max="5" width="32" customWidth="1"/>
    <col min="6" max="6" width="22" customWidth="1"/>
    <col min="7" max="8" width="10" customWidth="1"/>
    <col min="9" max="9" width="11" customWidth="1"/>
    <col min="10" max="10" width="48" customWidth="1"/>
  </cols>
  <sheetData>
    <row r="1" spans="1:10" ht="15.75" customHeight="1" x14ac:dyDescent="0.25">
      <c r="A1" s="5" t="s">
        <v>180</v>
      </c>
    </row>
    <row r="2" spans="1:10" ht="79.5" customHeight="1" x14ac:dyDescent="0.25">
      <c r="A2" s="16" t="s">
        <v>181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30" x14ac:dyDescent="0.25">
      <c r="A4" s="1" t="s">
        <v>133</v>
      </c>
      <c r="B4" s="1" t="s">
        <v>75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141</v>
      </c>
    </row>
    <row r="5" spans="1:10" ht="15" customHeight="1" x14ac:dyDescent="0.25">
      <c r="A5" s="12" t="s">
        <v>142</v>
      </c>
      <c r="B5" s="12">
        <v>1</v>
      </c>
      <c r="C5" s="12" t="s">
        <v>143</v>
      </c>
      <c r="D5" s="12" t="s">
        <v>144</v>
      </c>
      <c r="E5" s="12" t="s">
        <v>145</v>
      </c>
      <c r="F5" s="12" t="s">
        <v>146</v>
      </c>
      <c r="G5" s="12">
        <v>5</v>
      </c>
      <c r="H5" s="12">
        <v>0</v>
      </c>
      <c r="I5" s="12" t="s">
        <v>147</v>
      </c>
      <c r="J5" s="12" t="s">
        <v>148</v>
      </c>
    </row>
    <row r="6" spans="1:10" ht="15" customHeight="1" x14ac:dyDescent="0.25">
      <c r="A6" s="12" t="s">
        <v>142</v>
      </c>
      <c r="B6" s="12">
        <v>2</v>
      </c>
      <c r="C6" s="12" t="s">
        <v>143</v>
      </c>
      <c r="D6" s="12" t="s">
        <v>144</v>
      </c>
      <c r="E6" s="12" t="s">
        <v>145</v>
      </c>
      <c r="F6" s="12" t="s">
        <v>146</v>
      </c>
      <c r="G6" s="12">
        <v>5</v>
      </c>
      <c r="H6" s="12">
        <v>0</v>
      </c>
      <c r="I6" s="12" t="s">
        <v>147</v>
      </c>
      <c r="J6" s="12"/>
    </row>
    <row r="7" spans="1:10" ht="15" customHeight="1" x14ac:dyDescent="0.25">
      <c r="A7" s="12" t="s">
        <v>142</v>
      </c>
      <c r="B7" s="12">
        <v>3</v>
      </c>
      <c r="C7" s="12" t="s">
        <v>143</v>
      </c>
      <c r="D7" s="12" t="s">
        <v>144</v>
      </c>
      <c r="E7" s="12" t="s">
        <v>145</v>
      </c>
      <c r="F7" s="12" t="s">
        <v>146</v>
      </c>
      <c r="G7" s="12">
        <v>5</v>
      </c>
      <c r="H7" s="12">
        <v>0</v>
      </c>
      <c r="I7" s="12" t="s">
        <v>147</v>
      </c>
      <c r="J7" s="12"/>
    </row>
    <row r="8" spans="1:10" ht="25.5" customHeight="1" x14ac:dyDescent="0.25">
      <c r="A8" s="12" t="s">
        <v>10</v>
      </c>
      <c r="B8" s="12">
        <v>1</v>
      </c>
      <c r="C8" s="12" t="s">
        <v>149</v>
      </c>
      <c r="D8" s="12" t="s">
        <v>144</v>
      </c>
      <c r="E8" s="12" t="s">
        <v>150</v>
      </c>
      <c r="F8" s="12" t="s">
        <v>151</v>
      </c>
      <c r="G8" s="12">
        <v>8</v>
      </c>
      <c r="H8" s="12">
        <v>0</v>
      </c>
      <c r="I8" s="12" t="s">
        <v>143</v>
      </c>
      <c r="J8" s="12"/>
    </row>
    <row r="9" spans="1:10" ht="15" customHeight="1" x14ac:dyDescent="0.25">
      <c r="A9" s="12" t="s">
        <v>10</v>
      </c>
      <c r="B9" s="12">
        <v>2</v>
      </c>
      <c r="C9" s="12" t="s">
        <v>149</v>
      </c>
      <c r="D9" s="12" t="s">
        <v>144</v>
      </c>
      <c r="E9" s="12" t="s">
        <v>145</v>
      </c>
      <c r="F9" s="12" t="s">
        <v>146</v>
      </c>
      <c r="G9" s="12">
        <v>5</v>
      </c>
      <c r="H9" s="12">
        <v>0</v>
      </c>
      <c r="I9" s="12" t="s">
        <v>149</v>
      </c>
      <c r="J9" s="12" t="s">
        <v>152</v>
      </c>
    </row>
    <row r="10" spans="1:10" ht="15" customHeight="1" x14ac:dyDescent="0.25">
      <c r="A10" s="12" t="s">
        <v>10</v>
      </c>
      <c r="B10" s="12">
        <v>3</v>
      </c>
      <c r="C10" s="12" t="s">
        <v>149</v>
      </c>
      <c r="D10" s="12" t="s">
        <v>144</v>
      </c>
      <c r="E10" s="12" t="s">
        <v>153</v>
      </c>
      <c r="F10" s="12" t="s">
        <v>146</v>
      </c>
      <c r="G10" s="12">
        <v>6</v>
      </c>
      <c r="H10" s="12">
        <v>0</v>
      </c>
      <c r="I10" s="12" t="s">
        <v>143</v>
      </c>
      <c r="J10" s="12"/>
    </row>
    <row r="11" spans="1:10" ht="38.25" customHeight="1" x14ac:dyDescent="0.25">
      <c r="A11" s="12" t="s">
        <v>154</v>
      </c>
      <c r="B11" s="12">
        <v>1</v>
      </c>
      <c r="C11" s="12" t="s">
        <v>143</v>
      </c>
      <c r="D11" s="12" t="s">
        <v>155</v>
      </c>
      <c r="E11" s="12" t="s">
        <v>145</v>
      </c>
      <c r="F11" s="12" t="s">
        <v>146</v>
      </c>
      <c r="G11" s="12">
        <v>5</v>
      </c>
      <c r="H11" s="12">
        <v>0</v>
      </c>
      <c r="I11" s="12" t="s">
        <v>149</v>
      </c>
      <c r="J11" s="12" t="s">
        <v>156</v>
      </c>
    </row>
    <row r="12" spans="1:10" ht="15" customHeight="1" x14ac:dyDescent="0.25">
      <c r="A12" s="12" t="s">
        <v>154</v>
      </c>
      <c r="B12" s="12">
        <v>2</v>
      </c>
      <c r="C12" s="12" t="s">
        <v>143</v>
      </c>
      <c r="D12" s="12" t="s">
        <v>155</v>
      </c>
      <c r="E12" s="12" t="s">
        <v>157</v>
      </c>
      <c r="F12" s="12" t="s">
        <v>146</v>
      </c>
      <c r="G12" s="12">
        <v>6</v>
      </c>
      <c r="H12" s="12">
        <v>0</v>
      </c>
      <c r="I12" s="12" t="s">
        <v>143</v>
      </c>
      <c r="J12" s="12"/>
    </row>
    <row r="13" spans="1:10" ht="25.5" customHeight="1" x14ac:dyDescent="0.25">
      <c r="A13" s="12" t="s">
        <v>154</v>
      </c>
      <c r="B13" s="12">
        <v>3</v>
      </c>
      <c r="C13" s="12" t="s">
        <v>143</v>
      </c>
      <c r="D13" s="12" t="s">
        <v>155</v>
      </c>
      <c r="E13" s="12" t="s">
        <v>158</v>
      </c>
      <c r="F13" s="12" t="s">
        <v>159</v>
      </c>
      <c r="G13" s="12">
        <v>8</v>
      </c>
      <c r="H13" s="12">
        <v>0</v>
      </c>
      <c r="I13" s="12" t="s">
        <v>143</v>
      </c>
      <c r="J13" s="12" t="s">
        <v>160</v>
      </c>
    </row>
    <row r="14" spans="1:10" ht="25.5" customHeight="1" x14ac:dyDescent="0.25">
      <c r="A14" s="12" t="s">
        <v>161</v>
      </c>
      <c r="B14" s="12">
        <v>1</v>
      </c>
      <c r="C14" s="12" t="s">
        <v>149</v>
      </c>
      <c r="D14" s="12" t="s">
        <v>155</v>
      </c>
      <c r="E14" s="12" t="s">
        <v>162</v>
      </c>
      <c r="F14" s="12" t="s">
        <v>151</v>
      </c>
      <c r="G14" s="12">
        <v>7</v>
      </c>
      <c r="H14" s="12">
        <v>0</v>
      </c>
      <c r="I14" s="12" t="s">
        <v>143</v>
      </c>
      <c r="J14" s="12" t="s">
        <v>163</v>
      </c>
    </row>
    <row r="15" spans="1:10" ht="15" customHeight="1" x14ac:dyDescent="0.25">
      <c r="A15" s="12" t="s">
        <v>161</v>
      </c>
      <c r="B15" s="12">
        <v>2</v>
      </c>
      <c r="C15" s="12" t="s">
        <v>149</v>
      </c>
      <c r="D15" s="12" t="s">
        <v>155</v>
      </c>
      <c r="E15" s="12" t="s">
        <v>145</v>
      </c>
      <c r="F15" s="12" t="s">
        <v>146</v>
      </c>
      <c r="G15" s="12">
        <v>5</v>
      </c>
      <c r="H15" s="12">
        <v>0</v>
      </c>
      <c r="I15" s="12" t="s">
        <v>149</v>
      </c>
      <c r="J15" s="12"/>
    </row>
    <row r="16" spans="1:10" ht="25.5" customHeight="1" x14ac:dyDescent="0.25">
      <c r="A16" s="12" t="s">
        <v>161</v>
      </c>
      <c r="B16" s="12">
        <v>3</v>
      </c>
      <c r="C16" s="12" t="s">
        <v>149</v>
      </c>
      <c r="D16" s="12" t="s">
        <v>155</v>
      </c>
      <c r="E16" s="12" t="s">
        <v>164</v>
      </c>
      <c r="F16" s="12" t="s">
        <v>159</v>
      </c>
      <c r="G16" s="12">
        <v>10</v>
      </c>
      <c r="H16" s="12">
        <v>0</v>
      </c>
      <c r="I16" s="12" t="s">
        <v>143</v>
      </c>
      <c r="J16" s="12" t="s">
        <v>165</v>
      </c>
    </row>
    <row r="17" spans="1:10" ht="34.5" customHeight="1" x14ac:dyDescent="0.25">
      <c r="A17" s="12" t="s">
        <v>33</v>
      </c>
      <c r="B17" s="12">
        <v>1</v>
      </c>
      <c r="C17" s="12" t="s">
        <v>166</v>
      </c>
      <c r="D17" s="12" t="s">
        <v>144</v>
      </c>
      <c r="E17" s="12" t="s">
        <v>145</v>
      </c>
      <c r="F17" s="12" t="s">
        <v>146</v>
      </c>
      <c r="G17" s="12">
        <v>5</v>
      </c>
      <c r="H17" s="12">
        <v>0</v>
      </c>
      <c r="I17" s="12" t="s">
        <v>149</v>
      </c>
      <c r="J17" s="12" t="s">
        <v>167</v>
      </c>
    </row>
    <row r="18" spans="1:10" ht="15.75" customHeight="1" x14ac:dyDescent="0.25">
      <c r="A18" s="12" t="s">
        <v>33</v>
      </c>
      <c r="B18">
        <v>2</v>
      </c>
      <c r="C18" t="s">
        <v>166</v>
      </c>
      <c r="D18" t="s">
        <v>144</v>
      </c>
      <c r="E18" t="s">
        <v>145</v>
      </c>
      <c r="F18" t="s">
        <v>146</v>
      </c>
      <c r="G18">
        <v>5</v>
      </c>
      <c r="H18">
        <v>0</v>
      </c>
      <c r="I18" t="s">
        <v>149</v>
      </c>
      <c r="J18" t="s">
        <v>167</v>
      </c>
    </row>
    <row r="19" spans="1:10" ht="15.75" customHeight="1" x14ac:dyDescent="0.25">
      <c r="A19" s="12" t="s">
        <v>33</v>
      </c>
      <c r="B19">
        <v>3</v>
      </c>
      <c r="C19" t="s">
        <v>166</v>
      </c>
      <c r="D19" t="s">
        <v>144</v>
      </c>
      <c r="E19" t="s">
        <v>145</v>
      </c>
      <c r="F19" t="s">
        <v>146</v>
      </c>
      <c r="G19">
        <v>5</v>
      </c>
      <c r="H19">
        <v>0</v>
      </c>
      <c r="I19" t="s">
        <v>149</v>
      </c>
      <c r="J19" t="s">
        <v>168</v>
      </c>
    </row>
    <row r="20" spans="1:10" ht="15.75" customHeight="1" x14ac:dyDescent="0.25"/>
    <row r="21" spans="1:10" x14ac:dyDescent="0.25">
      <c r="A21" s="17" t="s">
        <v>169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5" t="s">
        <v>170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x14ac:dyDescent="0.25">
      <c r="A23" s="15" t="s">
        <v>171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x14ac:dyDescent="0.25">
      <c r="A24" s="15" t="s">
        <v>172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x14ac:dyDescent="0.25">
      <c r="A25" s="15" t="s">
        <v>173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x14ac:dyDescent="0.25">
      <c r="A26" s="15" t="s">
        <v>174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x14ac:dyDescent="0.25">
      <c r="A27" s="15" t="s">
        <v>175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x14ac:dyDescent="0.25">
      <c r="A28" s="15" t="s">
        <v>176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x14ac:dyDescent="0.25">
      <c r="A29" s="15" t="s">
        <v>177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x14ac:dyDescent="0.25">
      <c r="A30" s="14" t="s">
        <v>178</v>
      </c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11">
    <mergeCell ref="A2:J2"/>
    <mergeCell ref="A21:J21"/>
    <mergeCell ref="A22:J22"/>
    <mergeCell ref="A23:J23"/>
    <mergeCell ref="A24:J24"/>
    <mergeCell ref="A30:J30"/>
    <mergeCell ref="A25:J25"/>
    <mergeCell ref="A26:J26"/>
    <mergeCell ref="A27:J27"/>
    <mergeCell ref="A28:J28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Log</vt:lpstr>
      <vt:lpstr>Bewertung</vt:lpstr>
      <vt:lpstr>Rekonstruktion</vt:lpstr>
      <vt:lpstr>Ursachentest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Lukas Huber</cp:lastModifiedBy>
  <cp:revision>0</cp:revision>
  <dcterms:created xsi:type="dcterms:W3CDTF">2026-10-28T10:11:55Z</dcterms:created>
  <dcterms:modified xsi:type="dcterms:W3CDTF">2026-10-30T16:26:24Z</dcterms:modified>
  <dc:language>en-US</dc:language>
</cp:coreProperties>
</file>